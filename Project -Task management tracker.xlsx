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<sst xmlns="http://schemas.openxmlformats.org/spreadsheetml/2006/main" count="113" uniqueCount="72">
  <si>
    <t>Task Management Tracker</t>
  </si>
  <si>
    <t>Total Task</t>
  </si>
  <si>
    <t>Task ID</t>
  </si>
  <si>
    <t>Task Name</t>
  </si>
  <si>
    <t>Description</t>
  </si>
  <si>
    <t>Assigned To</t>
  </si>
  <si>
    <t>Start Date</t>
  </si>
  <si>
    <t>Due Date</t>
  </si>
  <si>
    <t>Priority</t>
  </si>
  <si>
    <t>Status</t>
  </si>
  <si>
    <t>Completion Date</t>
  </si>
  <si>
    <t>Notes</t>
  </si>
  <si>
    <t>Is Overdue</t>
  </si>
  <si>
    <t>Pending Days</t>
  </si>
  <si>
    <t>Pending Age</t>
  </si>
  <si>
    <t>Conduct Team Meeting</t>
  </si>
  <si>
    <t>Lead a meeting to discuss project updates.</t>
  </si>
  <si>
    <t>Olivia Parker</t>
  </si>
  <si>
    <t>Medium</t>
  </si>
  <si>
    <t>In Progress</t>
  </si>
  <si>
    <t>Write Blog Post</t>
  </si>
  <si>
    <t>Create a new blog article</t>
  </si>
  <si>
    <t>Ethan Williams</t>
  </si>
  <si>
    <t>High</t>
  </si>
  <si>
    <t>Not Started</t>
  </si>
  <si>
    <t>Update Customer Database</t>
  </si>
  <si>
    <t>Refresh customer records</t>
  </si>
  <si>
    <t>Sophia Johnson</t>
  </si>
  <si>
    <t>Low</t>
  </si>
  <si>
    <t>Prepare Financial Report</t>
  </si>
  <si>
    <t>Compile quarterly financial data</t>
  </si>
  <si>
    <t>Mason Brown</t>
  </si>
  <si>
    <t>Completed</t>
  </si>
  <si>
    <t>Organize Office Event</t>
  </si>
  <si>
    <t>Plan an office event</t>
  </si>
  <si>
    <t>Isabella Davis</t>
  </si>
  <si>
    <t>Develop Mobile App</t>
  </si>
  <si>
    <t>Build a mobile app</t>
  </si>
  <si>
    <t>Liam Martinez</t>
  </si>
  <si>
    <t>Test Website Functionality</t>
  </si>
  <si>
    <t>Test website for bugs</t>
  </si>
  <si>
    <t>Ava Wilson</t>
  </si>
  <si>
    <t>Draft Employee Handbook</t>
  </si>
  <si>
    <t>Write employee guidelines</t>
  </si>
  <si>
    <t>Noah Anderson</t>
  </si>
  <si>
    <t>Analyze Sales Data</t>
  </si>
  <si>
    <t>Review sales trends</t>
  </si>
  <si>
    <t>Mia Thomas</t>
  </si>
  <si>
    <t>Plan Product Launch</t>
  </si>
  <si>
    <t>Coordinate product launch</t>
  </si>
  <si>
    <t>Lucas Taylor</t>
  </si>
  <si>
    <t>Create Social Media Content</t>
  </si>
  <si>
    <t>Develop social media posts</t>
  </si>
  <si>
    <t>Charlotte Hernandez</t>
  </si>
  <si>
    <t>Review Legal Documents</t>
  </si>
  <si>
    <t>Check legal compliance</t>
  </si>
  <si>
    <t>Amelia Moore</t>
  </si>
  <si>
    <t>Implement Security Measures</t>
  </si>
  <si>
    <t>Deploy security protocols</t>
  </si>
  <si>
    <t>James Martin</t>
  </si>
  <si>
    <t>Set Up New Employee Workstations</t>
  </si>
  <si>
    <t>Prepare workstations for new hires</t>
  </si>
  <si>
    <t>Harper Jackson</t>
  </si>
  <si>
    <t>Conduct Market Analysis</t>
  </si>
  <si>
    <t>Research market trends</t>
  </si>
  <si>
    <t>Alexander Garcia</t>
  </si>
  <si>
    <t>Buckets</t>
  </si>
  <si>
    <t>0 to 5 days</t>
  </si>
  <si>
    <t>5 to 10 days</t>
  </si>
  <si>
    <t>10 to 15 days</t>
  </si>
  <si>
    <t>15 to 20 days</t>
  </si>
  <si>
    <t>Above 20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</si>
</sst>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8">
    <font>
      <sz val="10.0"/>
      <color rgb="FF000000"/>
      <name val="Arial"/>
      <scheme val="minor"/>
    </font>
    <font>
      <sz val="39.0"/>
      <color rgb="FFFFFFFF"/>
      <name val="Arial"/>
      <scheme val="minor"/>
    </font>
    <font>
      <b/>
      <sz val="19.0"/>
      <color theme="0"/>
      <name val="Arial"/>
      <scheme val="minor"/>
    </font>
    <font>
      <color theme="1"/>
      <name val="Arial"/>
      <scheme val="minor"/>
    </font>
    <font>
      <b/>
      <sz val="48.0"/>
      <color theme="0"/>
      <name val="Arial"/>
      <scheme val="minor"/>
    </font>
    <font>
      <b/>
      <color rgb="FFFFFFFF"/>
      <name val="Arial"/>
      <scheme val="minor"/>
    </font>
    <font>
      <color rgb="FFFFFFFF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3D85C6"/>
        <bgColor rgb="FF3D85C6"/>
      </patternFill>
    </fill>
  </fills>
  <borders count="5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E06666"/>
      </left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Fill="1" applyFont="1"/>
    <xf borderId="0" fillId="4" fontId="4" numFmtId="0" xfId="0" applyAlignment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4" fillId="7" fontId="6" numFmtId="0" xfId="0" applyAlignment="1" applyBorder="1" applyFill="1" applyFont="1">
      <alignment horizontal="center" vertical="bottom"/>
    </xf>
    <xf borderId="4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2124075</xdr:colOff>
      <xdr:row>4</xdr:row>
      <xdr:rowOff>85725</xdr:rowOff>
    </xdr:from>
    <xdr:ext cx="2628900" cy="2628900"/>
    <xdr:pic>
      <xdr:nvPicPr>
        <xdr:cNvPr id="184978793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4</xdr:row>
      <xdr:rowOff>85725</xdr:rowOff>
    </xdr:from>
    <xdr:ext cx="2533650" cy="2543175"/>
    <xdr:pic>
      <xdr:nvPicPr>
        <xdr:cNvPr id="3264363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4</xdr:row>
      <xdr:rowOff>85725</xdr:rowOff>
    </xdr:from>
    <xdr:ext cx="3209925" cy="2543175"/>
    <xdr:pic>
      <xdr:nvPicPr>
        <xdr:cNvPr id="95358093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485775</xdr:colOff>
      <xdr:row>4</xdr:row>
      <xdr:rowOff>85725</xdr:rowOff>
    </xdr:from>
    <xdr:ext cx="3305175" cy="2543175"/>
    <xdr:pic>
      <xdr:nvPicPr>
        <xdr:cNvPr id="62655292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27.88"/>
    <col customWidth="1" min="3" max="3" width="32.63"/>
    <col customWidth="1" min="4" max="4" width="16.38"/>
    <col customWidth="1" min="5" max="6" width="9.75"/>
  </cols>
  <sheetData>
    <row r="1">
      <c r="A1" s="1" t="s">
        <v>0</v>
      </c>
    </row>
    <row r="5">
      <c r="A5" s="2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4">
        <f>COUNTA(B20:B44)</f>
        <v>15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>
      <c r="A19" s="5" t="s">
        <v>2</v>
      </c>
      <c r="B19" s="5" t="s">
        <v>3</v>
      </c>
      <c r="C19" s="5" t="s">
        <v>4</v>
      </c>
      <c r="D19" s="5" t="s">
        <v>5</v>
      </c>
      <c r="E19" s="5" t="s">
        <v>6</v>
      </c>
      <c r="F19" s="5" t="s">
        <v>7</v>
      </c>
      <c r="G19" s="5" t="s">
        <v>8</v>
      </c>
      <c r="H19" s="5" t="s">
        <v>9</v>
      </c>
      <c r="I19" s="5" t="s">
        <v>10</v>
      </c>
      <c r="J19" s="5" t="s">
        <v>11</v>
      </c>
      <c r="K19" s="6" t="s">
        <v>12</v>
      </c>
      <c r="L19" s="6" t="s">
        <v>13</v>
      </c>
      <c r="M19" s="6" t="s">
        <v>14</v>
      </c>
    </row>
    <row r="20">
      <c r="A20" s="7">
        <f t="array" ref="A20:A34">SEQUENCE(COUNTA(B20:B134),1)</f>
        <v>1</v>
      </c>
      <c r="B20" s="7" t="s">
        <v>15</v>
      </c>
      <c r="C20" s="7" t="s">
        <v>16</v>
      </c>
      <c r="D20" s="7" t="s">
        <v>17</v>
      </c>
      <c r="E20" s="8">
        <v>45504.0</v>
      </c>
      <c r="F20" s="8">
        <v>45506.0</v>
      </c>
      <c r="G20" s="7" t="s">
        <v>18</v>
      </c>
      <c r="H20" s="7" t="s">
        <v>19</v>
      </c>
      <c r="I20" s="9"/>
      <c r="J20" s="9"/>
      <c r="K20" s="10" t="str">
        <f t="shared" ref="K20:K33" si="1">IF(F20&lt;IF(I20="",TODAY(),I20),"Yes","No")</f>
        <v>Yes</v>
      </c>
      <c r="L20" s="10">
        <f t="shared" ref="L20:L34" si="2">IF(AND(H20&lt;&gt;"Completed",E20&lt;=TODAY()),TODAY()-E20,"")</f>
        <v>484</v>
      </c>
      <c r="M20" s="10" t="str">
        <f>IFERROR(VLOOKUP(L20,Sheet2!$D$5:$E$9,2,1),"")</f>
        <v>Above 20 days</v>
      </c>
    </row>
    <row r="21">
      <c r="A21" s="7">
        <v>2.0</v>
      </c>
      <c r="B21" s="7" t="s">
        <v>20</v>
      </c>
      <c r="C21" s="7" t="s">
        <v>21</v>
      </c>
      <c r="D21" s="7" t="s">
        <v>22</v>
      </c>
      <c r="E21" s="8">
        <v>45476.0</v>
      </c>
      <c r="F21" s="8">
        <v>45477.0</v>
      </c>
      <c r="G21" s="7" t="s">
        <v>23</v>
      </c>
      <c r="H21" s="7" t="s">
        <v>24</v>
      </c>
      <c r="I21" s="9"/>
      <c r="J21" s="9"/>
      <c r="K21" s="10" t="str">
        <f t="shared" si="1"/>
        <v>Yes</v>
      </c>
      <c r="L21" s="10">
        <f t="shared" si="2"/>
        <v>512</v>
      </c>
      <c r="M21" s="10" t="str">
        <f>IFERROR(VLOOKUP(L21,Sheet2!$D$5:$E$9,2,1),"")</f>
        <v>Above 20 days</v>
      </c>
    </row>
    <row r="22">
      <c r="A22" s="7">
        <v>3.0</v>
      </c>
      <c r="B22" s="7" t="s">
        <v>25</v>
      </c>
      <c r="C22" s="7" t="s">
        <v>26</v>
      </c>
      <c r="D22" s="7" t="s">
        <v>27</v>
      </c>
      <c r="E22" s="8">
        <v>45478.0</v>
      </c>
      <c r="F22" s="8">
        <v>45479.0</v>
      </c>
      <c r="G22" s="7" t="s">
        <v>28</v>
      </c>
      <c r="H22" s="7" t="s">
        <v>19</v>
      </c>
      <c r="I22" s="9"/>
      <c r="J22" s="9"/>
      <c r="K22" s="10" t="str">
        <f t="shared" si="1"/>
        <v>Yes</v>
      </c>
      <c r="L22" s="10">
        <f t="shared" si="2"/>
        <v>510</v>
      </c>
      <c r="M22" s="10" t="str">
        <f>IFERROR(VLOOKUP(L22,Sheet2!$D$5:$E$9,2,1),"")</f>
        <v>Above 20 days</v>
      </c>
    </row>
    <row r="23">
      <c r="A23" s="7">
        <v>4.0</v>
      </c>
      <c r="B23" s="7" t="s">
        <v>29</v>
      </c>
      <c r="C23" s="7" t="s">
        <v>30</v>
      </c>
      <c r="D23" s="7" t="s">
        <v>31</v>
      </c>
      <c r="E23" s="8">
        <v>45482.0</v>
      </c>
      <c r="F23" s="8">
        <v>45483.0</v>
      </c>
      <c r="G23" s="7" t="s">
        <v>23</v>
      </c>
      <c r="H23" s="7" t="s">
        <v>32</v>
      </c>
      <c r="I23" s="8">
        <v>45483.0</v>
      </c>
      <c r="J23" s="9"/>
      <c r="K23" s="10" t="str">
        <f t="shared" si="1"/>
        <v>No</v>
      </c>
      <c r="L23" s="10" t="str">
        <f t="shared" si="2"/>
        <v/>
      </c>
      <c r="M23" s="10" t="str">
        <f>IFERROR(VLOOKUP(L23,Sheet2!$D$5:$E$9,2,1),"")</f>
        <v/>
      </c>
    </row>
    <row r="24">
      <c r="A24" s="7">
        <v>5.0</v>
      </c>
      <c r="B24" s="7" t="s">
        <v>33</v>
      </c>
      <c r="C24" s="7" t="s">
        <v>34</v>
      </c>
      <c r="D24" s="7" t="s">
        <v>35</v>
      </c>
      <c r="E24" s="8">
        <v>45490.0</v>
      </c>
      <c r="F24" s="8">
        <v>45491.0</v>
      </c>
      <c r="G24" s="7" t="s">
        <v>18</v>
      </c>
      <c r="H24" s="7" t="s">
        <v>32</v>
      </c>
      <c r="I24" s="8">
        <v>45492.0</v>
      </c>
      <c r="J24" s="9"/>
      <c r="K24" s="10" t="str">
        <f t="shared" si="1"/>
        <v>Yes</v>
      </c>
      <c r="L24" s="10" t="str">
        <f t="shared" si="2"/>
        <v/>
      </c>
      <c r="M24" s="10" t="str">
        <f>IFERROR(VLOOKUP(L24,Sheet2!$D$5:$E$9,2,1),"")</f>
        <v/>
      </c>
    </row>
    <row r="25">
      <c r="A25" s="7">
        <v>6.0</v>
      </c>
      <c r="B25" s="7" t="s">
        <v>36</v>
      </c>
      <c r="C25" s="7" t="s">
        <v>37</v>
      </c>
      <c r="D25" s="7" t="s">
        <v>38</v>
      </c>
      <c r="E25" s="8">
        <v>45486.0</v>
      </c>
      <c r="F25" s="8">
        <v>45487.0</v>
      </c>
      <c r="G25" s="7" t="s">
        <v>18</v>
      </c>
      <c r="H25" s="7" t="s">
        <v>24</v>
      </c>
      <c r="I25" s="9"/>
      <c r="J25" s="9"/>
      <c r="K25" s="10" t="str">
        <f t="shared" si="1"/>
        <v>Yes</v>
      </c>
      <c r="L25" s="10">
        <f t="shared" si="2"/>
        <v>502</v>
      </c>
      <c r="M25" s="10" t="str">
        <f>IFERROR(VLOOKUP(L25,Sheet2!$D$5:$E$9,2,1),"")</f>
        <v>Above 20 days</v>
      </c>
    </row>
    <row r="26">
      <c r="A26" s="7">
        <v>7.0</v>
      </c>
      <c r="B26" s="7" t="s">
        <v>39</v>
      </c>
      <c r="C26" s="7" t="s">
        <v>40</v>
      </c>
      <c r="D26" s="7" t="s">
        <v>41</v>
      </c>
      <c r="E26" s="8">
        <v>45494.0</v>
      </c>
      <c r="F26" s="8">
        <v>45495.0</v>
      </c>
      <c r="G26" s="7" t="s">
        <v>28</v>
      </c>
      <c r="H26" s="7" t="s">
        <v>19</v>
      </c>
      <c r="I26" s="9"/>
      <c r="J26" s="9"/>
      <c r="K26" s="10" t="str">
        <f t="shared" si="1"/>
        <v>Yes</v>
      </c>
      <c r="L26" s="10">
        <f t="shared" si="2"/>
        <v>494</v>
      </c>
      <c r="M26" s="10" t="str">
        <f>IFERROR(VLOOKUP(L26,Sheet2!$D$5:$E$9,2,1),"")</f>
        <v>Above 20 days</v>
      </c>
    </row>
    <row r="27">
      <c r="A27" s="7">
        <v>8.0</v>
      </c>
      <c r="B27" s="7" t="s">
        <v>42</v>
      </c>
      <c r="C27" s="7" t="s">
        <v>43</v>
      </c>
      <c r="D27" s="7" t="s">
        <v>44</v>
      </c>
      <c r="E27" s="8">
        <v>45491.0</v>
      </c>
      <c r="F27" s="8">
        <v>45493.0</v>
      </c>
      <c r="G27" s="7" t="s">
        <v>18</v>
      </c>
      <c r="H27" s="7" t="s">
        <v>32</v>
      </c>
      <c r="I27" s="8">
        <v>45493.0</v>
      </c>
      <c r="J27" s="9"/>
      <c r="K27" s="10" t="str">
        <f t="shared" si="1"/>
        <v>No</v>
      </c>
      <c r="L27" s="10" t="str">
        <f t="shared" si="2"/>
        <v/>
      </c>
      <c r="M27" s="10" t="str">
        <f>IFERROR(VLOOKUP(L27,Sheet2!$D$5:$E$9,2,1),"")</f>
        <v/>
      </c>
    </row>
    <row r="28">
      <c r="A28" s="7">
        <v>9.0</v>
      </c>
      <c r="B28" s="7" t="s">
        <v>45</v>
      </c>
      <c r="C28" s="7" t="s">
        <v>46</v>
      </c>
      <c r="D28" s="7" t="s">
        <v>47</v>
      </c>
      <c r="E28" s="8">
        <v>45495.0</v>
      </c>
      <c r="F28" s="8">
        <v>45496.0</v>
      </c>
      <c r="G28" s="7" t="s">
        <v>23</v>
      </c>
      <c r="H28" s="7" t="s">
        <v>24</v>
      </c>
      <c r="I28" s="9"/>
      <c r="J28" s="9"/>
      <c r="K28" s="10" t="str">
        <f t="shared" si="1"/>
        <v>Yes</v>
      </c>
      <c r="L28" s="10">
        <f t="shared" si="2"/>
        <v>493</v>
      </c>
      <c r="M28" s="10" t="str">
        <f>IFERROR(VLOOKUP(L28,Sheet2!$D$5:$E$9,2,1),"")</f>
        <v>Above 20 days</v>
      </c>
    </row>
    <row r="29">
      <c r="A29" s="7">
        <v>10.0</v>
      </c>
      <c r="B29" s="7" t="s">
        <v>48</v>
      </c>
      <c r="C29" s="7" t="s">
        <v>49</v>
      </c>
      <c r="D29" s="7" t="s">
        <v>50</v>
      </c>
      <c r="E29" s="8">
        <v>45497.0</v>
      </c>
      <c r="F29" s="8">
        <v>45498.0</v>
      </c>
      <c r="G29" s="7" t="s">
        <v>18</v>
      </c>
      <c r="H29" s="7" t="s">
        <v>19</v>
      </c>
      <c r="I29" s="9"/>
      <c r="J29" s="9"/>
      <c r="K29" s="10" t="str">
        <f t="shared" si="1"/>
        <v>Yes</v>
      </c>
      <c r="L29" s="10">
        <f t="shared" si="2"/>
        <v>491</v>
      </c>
      <c r="M29" s="10" t="str">
        <f>IFERROR(VLOOKUP(L29,Sheet2!$D$5:$E$9,2,1),"")</f>
        <v>Above 20 days</v>
      </c>
    </row>
    <row r="30">
      <c r="A30" s="7">
        <v>11.0</v>
      </c>
      <c r="B30" s="7" t="s">
        <v>51</v>
      </c>
      <c r="C30" s="7" t="s">
        <v>52</v>
      </c>
      <c r="D30" s="7" t="s">
        <v>53</v>
      </c>
      <c r="E30" s="8">
        <v>45499.0</v>
      </c>
      <c r="F30" s="8">
        <v>45500.0</v>
      </c>
      <c r="G30" s="7" t="s">
        <v>28</v>
      </c>
      <c r="H30" s="7" t="s">
        <v>24</v>
      </c>
      <c r="I30" s="9"/>
      <c r="J30" s="9"/>
      <c r="K30" s="10" t="str">
        <f t="shared" si="1"/>
        <v>Yes</v>
      </c>
      <c r="L30" s="10">
        <f t="shared" si="2"/>
        <v>489</v>
      </c>
      <c r="M30" s="10" t="str">
        <f>IFERROR(VLOOKUP(L30,Sheet2!$D$5:$E$9,2,1),"")</f>
        <v>Above 20 days</v>
      </c>
    </row>
    <row r="31">
      <c r="A31" s="7">
        <v>12.0</v>
      </c>
      <c r="B31" s="7" t="s">
        <v>54</v>
      </c>
      <c r="C31" s="7" t="s">
        <v>55</v>
      </c>
      <c r="D31" s="7" t="s">
        <v>56</v>
      </c>
      <c r="E31" s="8">
        <v>45475.0</v>
      </c>
      <c r="F31" s="8">
        <v>45476.0</v>
      </c>
      <c r="G31" s="7" t="s">
        <v>23</v>
      </c>
      <c r="H31" s="7" t="s">
        <v>32</v>
      </c>
      <c r="I31" s="8">
        <v>45483.0</v>
      </c>
      <c r="J31" s="9"/>
      <c r="K31" s="10" t="str">
        <f t="shared" si="1"/>
        <v>Yes</v>
      </c>
      <c r="L31" s="10" t="str">
        <f t="shared" si="2"/>
        <v/>
      </c>
      <c r="M31" s="10" t="str">
        <f>IFERROR(VLOOKUP(L31,Sheet2!$D$5:$E$9,2,1),"")</f>
        <v/>
      </c>
    </row>
    <row r="32">
      <c r="A32" s="7">
        <v>13.0</v>
      </c>
      <c r="B32" s="7" t="s">
        <v>57</v>
      </c>
      <c r="C32" s="7" t="s">
        <v>58</v>
      </c>
      <c r="D32" s="7" t="s">
        <v>59</v>
      </c>
      <c r="E32" s="8">
        <v>45478.0</v>
      </c>
      <c r="F32" s="8">
        <v>45480.0</v>
      </c>
      <c r="G32" s="7" t="s">
        <v>18</v>
      </c>
      <c r="H32" s="7" t="s">
        <v>19</v>
      </c>
      <c r="I32" s="9"/>
      <c r="J32" s="9"/>
      <c r="K32" s="10" t="str">
        <f t="shared" si="1"/>
        <v>Yes</v>
      </c>
      <c r="L32" s="10">
        <f t="shared" si="2"/>
        <v>510</v>
      </c>
      <c r="M32" s="10" t="str">
        <f>IFERROR(VLOOKUP(L32,Sheet2!$D$5:$E$9,2,1),"")</f>
        <v>Above 20 days</v>
      </c>
    </row>
    <row r="33">
      <c r="A33" s="7">
        <v>14.0</v>
      </c>
      <c r="B33" s="7" t="s">
        <v>60</v>
      </c>
      <c r="C33" s="7" t="s">
        <v>61</v>
      </c>
      <c r="D33" s="7" t="s">
        <v>62</v>
      </c>
      <c r="E33" s="8">
        <v>45483.0</v>
      </c>
      <c r="F33" s="8">
        <v>45485.0</v>
      </c>
      <c r="G33" s="7" t="s">
        <v>28</v>
      </c>
      <c r="H33" s="7" t="s">
        <v>19</v>
      </c>
      <c r="I33" s="9"/>
      <c r="J33" s="9"/>
      <c r="K33" s="10" t="str">
        <f t="shared" si="1"/>
        <v>Yes</v>
      </c>
      <c r="L33" s="10">
        <f t="shared" si="2"/>
        <v>505</v>
      </c>
      <c r="M33" s="10" t="str">
        <f>IFERROR(VLOOKUP(L33,Sheet2!$D$5:$E$9,2,1),"")</f>
        <v>Above 20 days</v>
      </c>
    </row>
    <row r="34">
      <c r="A34" s="7">
        <v>15.0</v>
      </c>
      <c r="B34" s="7" t="s">
        <v>63</v>
      </c>
      <c r="C34" s="7" t="s">
        <v>64</v>
      </c>
      <c r="D34" s="7" t="s">
        <v>65</v>
      </c>
      <c r="E34" s="8">
        <v>45490.0</v>
      </c>
      <c r="F34" s="8">
        <v>45492.0</v>
      </c>
      <c r="G34" s="7" t="s">
        <v>23</v>
      </c>
      <c r="H34" s="7" t="s">
        <v>24</v>
      </c>
      <c r="I34" s="9"/>
      <c r="J34" s="9"/>
      <c r="K34" s="10" t="str">
        <f>IF(E20="","", IF(F34&lt;IF(I34="",TODAY(),I34),"Yes","No"))</f>
        <v>Yes</v>
      </c>
      <c r="L34" s="10">
        <f t="shared" si="2"/>
        <v>498</v>
      </c>
      <c r="M34" s="10" t="str">
        <f>IFERROR(VLOOKUP(L34,Sheet2!$D$5:$E$9,2,1),"")</f>
        <v>Above 20 days</v>
      </c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11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</sheetData>
  <mergeCells count="3">
    <mergeCell ref="A1:M4"/>
    <mergeCell ref="A5:B6"/>
    <mergeCell ref="A7:B17"/>
  </mergeCells>
  <dataValidations>
    <dataValidation type="list" allowBlank="1" showErrorMessage="1" sqref="D19:D51">
      <formula1>Sheet2!$A$1:$A$16</formula1>
    </dataValidation>
    <dataValidation type="custom" allowBlank="1" showDropDown="1" sqref="E20:F60 I20:I68">
      <formula1>OR(NOT(ISERROR(DATEVALUE(E20))), AND(ISNUMBER(E20), LEFT(CELL("format", E20))="D"))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5</v>
      </c>
    </row>
    <row r="2">
      <c r="A2" s="14" t="s">
        <v>17</v>
      </c>
    </row>
    <row r="3">
      <c r="A3" s="14" t="s">
        <v>22</v>
      </c>
    </row>
    <row r="4">
      <c r="A4" s="14" t="s">
        <v>27</v>
      </c>
      <c r="D4" s="13" t="s">
        <v>13</v>
      </c>
      <c r="E4" s="13" t="s">
        <v>66</v>
      </c>
    </row>
    <row r="5">
      <c r="A5" s="14" t="s">
        <v>31</v>
      </c>
      <c r="D5" s="14">
        <v>0.0</v>
      </c>
      <c r="E5" s="14" t="s">
        <v>67</v>
      </c>
    </row>
    <row r="6">
      <c r="A6" s="14" t="s">
        <v>35</v>
      </c>
      <c r="D6" s="14">
        <v>5.0</v>
      </c>
      <c r="E6" s="14" t="s">
        <v>68</v>
      </c>
    </row>
    <row r="7">
      <c r="A7" s="14" t="s">
        <v>38</v>
      </c>
      <c r="D7" s="14">
        <v>10.0</v>
      </c>
      <c r="E7" s="14" t="s">
        <v>69</v>
      </c>
    </row>
    <row r="8">
      <c r="A8" s="14" t="s">
        <v>41</v>
      </c>
      <c r="D8" s="14">
        <v>15.0</v>
      </c>
      <c r="E8" s="14" t="s">
        <v>70</v>
      </c>
    </row>
    <row r="9">
      <c r="A9" s="14" t="s">
        <v>44</v>
      </c>
      <c r="D9" s="14">
        <v>20.0</v>
      </c>
      <c r="E9" s="14" t="s">
        <v>71</v>
      </c>
    </row>
    <row r="10">
      <c r="A10" s="14" t="s">
        <v>47</v>
      </c>
    </row>
    <row r="11">
      <c r="A11" s="14" t="s">
        <v>50</v>
      </c>
    </row>
    <row r="12">
      <c r="A12" s="14" t="s">
        <v>53</v>
      </c>
    </row>
    <row r="13">
      <c r="A13" s="14" t="s">
        <v>56</v>
      </c>
    </row>
    <row r="14">
      <c r="A14" s="14" t="s">
        <v>59</v>
      </c>
    </row>
    <row r="15">
      <c r="A15" s="14" t="s">
        <v>62</v>
      </c>
    </row>
    <row r="16">
      <c r="A16" s="14" t="s">
        <v>65</v>
      </c>
    </row>
  </sheetData>
  <drawing r:id="rId1"/>
</worksheet>
</file>